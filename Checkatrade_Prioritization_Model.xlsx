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aw Data" sheetId="1" state="visible" r:id="rId3"/>
    <sheet name="2. Trend Analysis" sheetId="2" state="visible" r:id="rId4"/>
    <sheet name="3. Scenario Model" sheetId="3" state="visible" r:id="rId5"/>
    <sheet name="4. Severity Matrix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<sst xmlns="http://schemas.openxmlformats.org/spreadsheetml/2006/main" count="88" uniqueCount="81">
  <si>
    <t xml:space="preserve">Checkatrade Consumer Funnel - Raw Data (Dummy)</t>
  </si>
  <si>
    <t xml:space="preserve">Metric</t>
  </si>
  <si>
    <t xml:space="preserve">FY Total / Avg</t>
  </si>
  <si>
    <t xml:space="preserve">Unique Customers (k)</t>
  </si>
  <si>
    <t xml:space="preserve">BOs per User</t>
  </si>
  <si>
    <t xml:space="preserve">Hire Rate</t>
  </si>
  <si>
    <t xml:space="preserve">Unique Customers Web (k)</t>
  </si>
  <si>
    <t xml:space="preserve">BOs per User - Web</t>
  </si>
  <si>
    <t xml:space="preserve">Hire Rate - Web</t>
  </si>
  <si>
    <t xml:space="preserve">Unique Customers App (k)</t>
  </si>
  <si>
    <t xml:space="preserve">BOs per User - App</t>
  </si>
  <si>
    <t xml:space="preserve">Hire Rate - App</t>
  </si>
  <si>
    <t xml:space="preserve">Total BOs (k)</t>
  </si>
  <si>
    <t xml:space="preserve">Successful Hires (k)</t>
  </si>
  <si>
    <t xml:space="preserve">Trend Analysis: Month 1 vs Month 12 (how each lever is moving)</t>
  </si>
  <si>
    <t xml:space="preserve">Month 1</t>
  </si>
  <si>
    <t xml:space="preserve">Month 12</t>
  </si>
  <si>
    <t xml:space="preserve">Absolute Change</t>
  </si>
  <si>
    <t xml:space="preserve">Relative Change</t>
  </si>
  <si>
    <t xml:space="preserve">Direction</t>
  </si>
  <si>
    <t xml:space="preserve">Signal Strength</t>
  </si>
  <si>
    <t xml:space="preserve">BOs per User (overall)</t>
  </si>
  <si>
    <t xml:space="preserve">Hire Rate (overall)</t>
  </si>
  <si>
    <t xml:space="preserve">Commentary on the data signals</t>
  </si>
  <si>
    <t xml:space="preserve">Unique Customers fell ~30% from M1 to M12. Largest single deterioration in the funnel. Strong signal even if partly seasonal.</t>
  </si>
  <si>
    <t xml:space="preserve">Hire Rate fell ~17pp (24% relative). Sustained deterioration across web AND app. Conversion is actively leaking.</t>
  </si>
  <si>
    <t xml:space="preserve">BOs per User actually improved ~26% over the year. The absolute level (1.4 to 1.8) is still far below 10-15 household need, but the trend is positive, so the data does NOT flag this as an acute funnel problem.</t>
  </si>
  <si>
    <t xml:space="preserve">App: BOs/User is flat at ~1.00 (vs Web ~1.03) and Hire Rate tracks web. App adoption is growing (Unique Customers App up ~43%), but app is not a differentiated surface. Strategic concern, not an acute funnel leak.</t>
  </si>
  <si>
    <t xml:space="preserve">Scenario Model: Impact of fixing each lever (annualized hires)</t>
  </si>
  <si>
    <t xml:space="preserve">Baseline = FY run-rate from raw data. Each scenario isolates one lever and holds others constant.</t>
  </si>
  <si>
    <t xml:space="preserve">Baseline Inputs</t>
  </si>
  <si>
    <t xml:space="preserve">FY Unique Customers (k)</t>
  </si>
  <si>
    <t xml:space="preserve">Avg BOs per User</t>
  </si>
  <si>
    <t xml:space="preserve">Avg Hire Rate</t>
  </si>
  <si>
    <t xml:space="preserve">Baseline FY Hires (k)</t>
  </si>
  <si>
    <t xml:space="preserve">Scenarios (what if we fix each lever to a realistic target)</t>
  </si>
  <si>
    <t xml:space="preserve">Scenario</t>
  </si>
  <si>
    <t xml:space="preserve">Customers (k)</t>
  </si>
  <si>
    <t xml:space="preserve">BOs/User</t>
  </si>
  <si>
    <t xml:space="preserve">FY Hires (k)</t>
  </si>
  <si>
    <t xml:space="preserve">Lift vs Baseline</t>
  </si>
  <si>
    <t xml:space="preserve">Baseline (current trajectory)</t>
  </si>
  <si>
    <t xml:space="preserve">A. Fix demand (hold M1 peak all year)</t>
  </si>
  <si>
    <t xml:space="preserve">B. Fix BOs/user (lift to 2.5 vs current avg)</t>
  </si>
  <si>
    <t xml:space="preserve">C. Fix hire rate (restore to M1 peak 71.3%)</t>
  </si>
  <si>
    <t xml:space="preserve">D. Fix app (app BOs/user lifts blended +5%)</t>
  </si>
  <si>
    <t xml:space="preserve">E. Combined A + C (fix demand AND hire rate)</t>
  </si>
  <si>
    <t xml:space="preserve">Interpretation</t>
  </si>
  <si>
    <t xml:space="preserve">Fixing demand and hire rate each individually unlock double-digit hire uplift. Both are problems clearly visible in the data.</t>
  </si>
  <si>
    <t xml:space="preserve">BOs per user scenario looks large in absolute terms, but the lever is slow (requires product rebuild into a homeowner OS) and the trend is already positive, so this is Section C/D territory, not an acute funnel fix.</t>
  </si>
  <si>
    <t xml:space="preserve">App scenario is smaller because the blended gap is ~2-3 percentage points today. Important strategically but not the biggest 12-month hire lever.</t>
  </si>
  <si>
    <t xml:space="preserve">Combined scenario (A + C) more than doubles FY hires from the current exit run rate. That is why these two should be the HIGH severity priorities.</t>
  </si>
  <si>
    <t xml:space="preserve">Severity Scoring: Which 2 findings are most critical to investigate first?</t>
  </si>
  <si>
    <t xml:space="preserve">Score each finding on 5 dimensions (1-5). Higher score = higher severity/priority.</t>
  </si>
  <si>
    <t xml:space="preserve">Finding</t>
  </si>
  <si>
    <t xml:space="preserve">Signal in data (1-5)</t>
  </si>
  <si>
    <t xml:space="preserve">Trend direction (1-5)</t>
  </si>
  <si>
    <t xml:space="preserve">Size of prize (1-5)</t>
  </si>
  <si>
    <t xml:space="preserve">Time-to-impact (1-5)</t>
  </si>
  <si>
    <t xml:space="preserve">Reversibility risk (1-5)</t>
  </si>
  <si>
    <t xml:space="preserve">Total Score</t>
  </si>
  <si>
    <t xml:space="preserve">Severity</t>
  </si>
  <si>
    <t xml:space="preserve">B.1 Demand / top-of-funnel decline</t>
  </si>
  <si>
    <t xml:space="preserve">B.2 BOs per User too low (wallet share gap)</t>
  </si>
  <si>
    <t xml:space="preserve">B.3 Hire rate deteriorating in messy middle</t>
  </si>
  <si>
    <t xml:space="preserve">B.4 App not differentiated</t>
  </si>
  <si>
    <t xml:space="preserve">Scoring rubric</t>
  </si>
  <si>
    <t xml:space="preserve">Signal in data</t>
  </si>
  <si>
    <t xml:space="preserve">How clearly does the 12-month data flag this as a problem? (5 = obvious deterioration, 1 = not visible)</t>
  </si>
  <si>
    <t xml:space="preserve">Trend direction</t>
  </si>
  <si>
    <t xml:space="preserve">Is the metric getting worse? (5 = rapidly worsening, 1 = improving)</t>
  </si>
  <si>
    <t xml:space="preserve">Size of prize</t>
  </si>
  <si>
    <t xml:space="preserve">Potential FY hires unlocked if fixed (see Sheet 3 scenarios)</t>
  </si>
  <si>
    <t xml:space="preserve">Time-to-impact</t>
  </si>
  <si>
    <t xml:space="preserve">How fast can a growth team move it? (5 = 1-2 quarters, 1 = 18mo+ product rebuild)</t>
  </si>
  <si>
    <t xml:space="preserve">Reversibility risk</t>
  </si>
  <si>
    <t xml:space="preserve">If left alone 12 months, how much does it worsen? (5 = compounding damage, 1 = stable)</t>
  </si>
  <si>
    <t xml:space="preserve">Recommendation</t>
  </si>
  <si>
    <t xml:space="preserve">TOP 2 (HIGH severity): B.1 Demand decline and B.3 Hire rate deterioration.</t>
  </si>
  <si>
    <t xml:space="preserve">Both score 20+ on the matrix. They are the two problems the 12-month data clearly reveals, they both worsen over time, and they have the largest short-term leverage on FY hires (see Sheet 3).</t>
  </si>
  <si>
    <t xml:space="preserve">B.2 and B.4 remain valid strategic findings but score as MEDIUM because the data trend is not acute (BOs/user is improving; app adoption is growing) and fixes require multi-quarter product investment rather than funnel surgery.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</si>
</sst>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0.00"/>
    <numFmt numFmtId="167" formatCode="0.0%"/>
    <numFmt numFmtId="168" formatCode="#,##0"/>
    <numFmt numFmtId="169" formatCode="\+0.0%;\-0.0%;0.0%"/>
    <numFmt numFmtId="170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B1F3F"/>
      <name val="Arial"/>
      <family val="0"/>
      <charset val="1"/>
    </font>
    <font>
      <b val="true"/>
      <sz val="12"/>
      <color rgb="FF0B1F3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B1F3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F3F"/>
        <bgColor rgb="FF003300"/>
      </patternFill>
    </fill>
    <fill>
      <patternFill patternType="solid">
        <fgColor rgb="FFE8EEF7"/>
        <bgColor rgb="FFF5F7FA"/>
      </patternFill>
    </fill>
    <fill>
      <patternFill patternType="solid">
        <fgColor rgb="FFF5F7FA"/>
        <bgColor rgb="FFFFFFFF"/>
      </patternFill>
    </fill>
    <fill>
      <patternFill patternType="solid">
        <fgColor rgb="FFF59E0B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E8EEF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B7280"/>
      <rgbColor rgb="FF969696"/>
      <rgbColor rgb="FF0B1F3F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9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6.85" hidden="false" customHeight="false" outlineLevel="0" collapsed="false">
      <c r="A3" s="2" t="s">
        <v>1</v>
      </c>
      <c r="B3" s="2" t="n">
        <v>1</v>
      </c>
      <c r="C3" s="2" t="n">
        <v>2</v>
      </c>
      <c r="D3" s="2" t="n">
        <v>3</v>
      </c>
      <c r="E3" s="2" t="n">
        <v>4</v>
      </c>
      <c r="F3" s="2" t="n">
        <v>5</v>
      </c>
      <c r="G3" s="2" t="n">
        <v>6</v>
      </c>
      <c r="H3" s="2" t="n">
        <v>7</v>
      </c>
      <c r="I3" s="2" t="n">
        <v>8</v>
      </c>
      <c r="J3" s="2" t="n">
        <v>9</v>
      </c>
      <c r="K3" s="2" t="n">
        <v>10</v>
      </c>
      <c r="L3" s="2" t="n">
        <v>11</v>
      </c>
      <c r="M3" s="2" t="n">
        <v>12</v>
      </c>
      <c r="N3" s="2" t="s">
        <v>2</v>
      </c>
    </row>
    <row r="4" customFormat="false" ht="15" hidden="false" customHeight="false" outlineLevel="0" collapsed="false">
      <c r="A4" s="3" t="s">
        <v>3</v>
      </c>
      <c r="B4" s="4" t="n">
        <v>277.6</v>
      </c>
      <c r="C4" s="4" t="n">
        <v>253.4</v>
      </c>
      <c r="D4" s="4" t="n">
        <v>247.3</v>
      </c>
      <c r="E4" s="4" t="n">
        <v>223.4</v>
      </c>
      <c r="F4" s="4" t="n">
        <v>256.6</v>
      </c>
      <c r="G4" s="4" t="n">
        <v>234.4</v>
      </c>
      <c r="H4" s="4" t="n">
        <v>248.2</v>
      </c>
      <c r="I4" s="4" t="n">
        <v>240</v>
      </c>
      <c r="J4" s="4" t="n">
        <v>212.7</v>
      </c>
      <c r="K4" s="4" t="n">
        <v>150.8</v>
      </c>
      <c r="L4" s="4" t="n">
        <v>205.2</v>
      </c>
      <c r="M4" s="4" t="n">
        <v>193.8</v>
      </c>
      <c r="N4" s="5" t="n">
        <f aca="false">SUM(B4:M4)</f>
        <v>2743.4</v>
      </c>
    </row>
    <row r="5" customFormat="false" ht="15" hidden="false" customHeight="false" outlineLevel="0" collapsed="false">
      <c r="A5" s="3" t="s">
        <v>4</v>
      </c>
      <c r="B5" s="4" t="n">
        <v>1.41</v>
      </c>
      <c r="C5" s="4" t="n">
        <v>1.44</v>
      </c>
      <c r="D5" s="4" t="n">
        <v>1.45</v>
      </c>
      <c r="E5" s="4" t="n">
        <v>1.58</v>
      </c>
      <c r="F5" s="4" t="n">
        <v>1.47</v>
      </c>
      <c r="G5" s="4" t="n">
        <v>1.53</v>
      </c>
      <c r="H5" s="4" t="n">
        <v>1.52</v>
      </c>
      <c r="I5" s="4" t="n">
        <v>1.61</v>
      </c>
      <c r="J5" s="4" t="n">
        <v>1.63</v>
      </c>
      <c r="K5" s="4" t="n">
        <v>1.68</v>
      </c>
      <c r="L5" s="4" t="n">
        <v>1.68</v>
      </c>
      <c r="M5" s="4" t="n">
        <v>1.78</v>
      </c>
      <c r="N5" s="6" t="n">
        <f aca="false">SUMPRODUCT(B4:M4,B5:M5)/SUM(B4:M4)</f>
        <v>1.55176496318437</v>
      </c>
    </row>
    <row r="6" customFormat="false" ht="15" hidden="false" customHeight="false" outlineLevel="0" collapsed="false">
      <c r="A6" s="3" t="s">
        <v>5</v>
      </c>
      <c r="B6" s="7" t="n">
        <v>0.713</v>
      </c>
      <c r="C6" s="7" t="n">
        <v>0.617</v>
      </c>
      <c r="D6" s="7" t="n">
        <v>0.636</v>
      </c>
      <c r="E6" s="7" t="n">
        <v>0.55</v>
      </c>
      <c r="F6" s="7" t="n">
        <v>0.548</v>
      </c>
      <c r="G6" s="7" t="n">
        <v>0.552</v>
      </c>
      <c r="H6" s="7" t="n">
        <v>0.56</v>
      </c>
      <c r="I6" s="7" t="n">
        <v>0.548</v>
      </c>
      <c r="J6" s="7" t="n">
        <v>0.537</v>
      </c>
      <c r="K6" s="7" t="n">
        <v>0.543</v>
      </c>
      <c r="L6" s="7" t="n">
        <v>0.556</v>
      </c>
      <c r="M6" s="7" t="n">
        <v>0.541</v>
      </c>
      <c r="N6" s="8" t="n">
        <f aca="false">SUMPRODUCT(B13:M13,B6:M6)/SUM(B13:M13)</f>
        <v>0.576950916254964</v>
      </c>
    </row>
    <row r="7" customFormat="false" ht="15" hidden="false" customHeight="false" outlineLevel="0" collapsed="false">
      <c r="A7" s="3" t="s">
        <v>6</v>
      </c>
      <c r="B7" s="4" t="n">
        <v>277.6</v>
      </c>
      <c r="C7" s="4" t="n">
        <v>253.4</v>
      </c>
      <c r="D7" s="4" t="n">
        <v>247.3</v>
      </c>
      <c r="E7" s="4" t="n">
        <v>223.4</v>
      </c>
      <c r="F7" s="4" t="n">
        <v>256.7</v>
      </c>
      <c r="G7" s="4" t="n">
        <v>234.4</v>
      </c>
      <c r="H7" s="4" t="n">
        <v>248.2</v>
      </c>
      <c r="I7" s="4" t="n">
        <v>240</v>
      </c>
      <c r="J7" s="4" t="n">
        <v>212.7</v>
      </c>
      <c r="K7" s="4" t="n">
        <v>150.8</v>
      </c>
      <c r="L7" s="4" t="n">
        <v>205.3</v>
      </c>
      <c r="M7" s="4" t="n">
        <v>193.8</v>
      </c>
      <c r="N7" s="9"/>
    </row>
    <row r="8" customFormat="false" ht="15" hidden="false" customHeight="false" outlineLevel="0" collapsed="false">
      <c r="A8" s="3" t="s">
        <v>7</v>
      </c>
      <c r="B8" s="4" t="n">
        <v>1.03</v>
      </c>
      <c r="C8" s="4" t="n">
        <v>1.04</v>
      </c>
      <c r="D8" s="4" t="n">
        <v>1.03</v>
      </c>
      <c r="E8" s="4" t="n">
        <v>1.02</v>
      </c>
      <c r="F8" s="4" t="n">
        <v>1.03</v>
      </c>
      <c r="G8" s="4" t="n">
        <v>1.03</v>
      </c>
      <c r="H8" s="4" t="n">
        <v>1.04</v>
      </c>
      <c r="I8" s="4" t="n">
        <v>1.03</v>
      </c>
      <c r="J8" s="4" t="n">
        <v>1.04</v>
      </c>
      <c r="K8" s="4" t="n">
        <v>1.05</v>
      </c>
      <c r="L8" s="4" t="n">
        <v>1.04</v>
      </c>
      <c r="M8" s="4" t="n">
        <v>1.03</v>
      </c>
      <c r="N8" s="9"/>
    </row>
    <row r="9" customFormat="false" ht="15" hidden="false" customHeight="false" outlineLevel="0" collapsed="false">
      <c r="A9" s="3" t="s">
        <v>8</v>
      </c>
      <c r="B9" s="7" t="n">
        <v>0.714</v>
      </c>
      <c r="C9" s="7" t="n">
        <v>0.617</v>
      </c>
      <c r="D9" s="7" t="n">
        <v>0.636</v>
      </c>
      <c r="E9" s="7" t="n">
        <v>0.55</v>
      </c>
      <c r="F9" s="7" t="n">
        <v>0.548</v>
      </c>
      <c r="G9" s="7" t="n">
        <v>0.552</v>
      </c>
      <c r="H9" s="7" t="n">
        <v>0.56</v>
      </c>
      <c r="I9" s="7" t="n">
        <v>0.548</v>
      </c>
      <c r="J9" s="7" t="n">
        <v>0.538</v>
      </c>
      <c r="K9" s="7" t="n">
        <v>0.542</v>
      </c>
      <c r="L9" s="7" t="n">
        <v>0.557</v>
      </c>
      <c r="M9" s="7" t="n">
        <v>0.542</v>
      </c>
      <c r="N9" s="9"/>
    </row>
    <row r="10" customFormat="false" ht="15" hidden="false" customHeight="false" outlineLevel="0" collapsed="false">
      <c r="A10" s="3" t="s">
        <v>9</v>
      </c>
      <c r="B10" s="4" t="n">
        <v>33</v>
      </c>
      <c r="C10" s="4" t="n">
        <v>30.4</v>
      </c>
      <c r="D10" s="4" t="n">
        <v>30.9</v>
      </c>
      <c r="E10" s="4" t="n">
        <v>31.8</v>
      </c>
      <c r="F10" s="4" t="n">
        <v>37.2</v>
      </c>
      <c r="G10" s="4" t="n">
        <v>42.3</v>
      </c>
      <c r="H10" s="4" t="n">
        <v>42.3</v>
      </c>
      <c r="I10" s="4" t="n">
        <v>48.5</v>
      </c>
      <c r="J10" s="4" t="n">
        <v>52.8</v>
      </c>
      <c r="K10" s="4" t="n">
        <v>37.8</v>
      </c>
      <c r="L10" s="4" t="n">
        <v>49</v>
      </c>
      <c r="M10" s="4" t="n">
        <v>47.2</v>
      </c>
      <c r="N10" s="9"/>
    </row>
    <row r="11" customFormat="false" ht="15" hidden="false" customHeight="false" outlineLevel="0" collapsed="false">
      <c r="A11" s="3" t="s">
        <v>10</v>
      </c>
      <c r="B11" s="4" t="n">
        <v>1</v>
      </c>
      <c r="C11" s="4" t="n">
        <v>1</v>
      </c>
      <c r="D11" s="4" t="n">
        <v>1</v>
      </c>
      <c r="E11" s="4" t="n">
        <v>1</v>
      </c>
      <c r="F11" s="4" t="n">
        <v>1</v>
      </c>
      <c r="G11" s="4" t="n">
        <v>1</v>
      </c>
      <c r="H11" s="4" t="n">
        <v>1</v>
      </c>
      <c r="I11" s="4" t="n">
        <v>1</v>
      </c>
      <c r="J11" s="4" t="n">
        <v>1</v>
      </c>
      <c r="K11" s="4" t="n">
        <v>1</v>
      </c>
      <c r="L11" s="4" t="n">
        <v>1</v>
      </c>
      <c r="M11" s="4" t="n">
        <v>1.01</v>
      </c>
      <c r="N11" s="9"/>
    </row>
    <row r="12" customFormat="false" ht="15" hidden="false" customHeight="false" outlineLevel="0" collapsed="false">
      <c r="A12" s="3" t="s">
        <v>11</v>
      </c>
      <c r="B12" s="7" t="n">
        <v>0.707</v>
      </c>
      <c r="C12" s="7" t="n">
        <v>0.602</v>
      </c>
      <c r="D12" s="7" t="n">
        <v>0.623</v>
      </c>
      <c r="E12" s="7" t="n">
        <v>0.544</v>
      </c>
      <c r="F12" s="7" t="n">
        <v>0.543</v>
      </c>
      <c r="G12" s="7" t="n">
        <v>0.546</v>
      </c>
      <c r="H12" s="7" t="n">
        <v>0.553</v>
      </c>
      <c r="I12" s="7" t="n">
        <v>0.541</v>
      </c>
      <c r="J12" s="7" t="n">
        <v>0.531</v>
      </c>
      <c r="K12" s="7" t="n">
        <v>0.538</v>
      </c>
      <c r="L12" s="7" t="n">
        <v>0.553</v>
      </c>
      <c r="M12" s="7" t="n">
        <v>0.537</v>
      </c>
      <c r="N12" s="9"/>
    </row>
    <row r="13" customFormat="false" ht="15" hidden="false" customHeight="false" outlineLevel="0" collapsed="false">
      <c r="A13" s="3" t="s">
        <v>12</v>
      </c>
      <c r="B13" s="4" t="n">
        <f aca="false">B4*B5</f>
        <v>391.416</v>
      </c>
      <c r="C13" s="4" t="n">
        <f aca="false">C4*C5</f>
        <v>364.896</v>
      </c>
      <c r="D13" s="4" t="n">
        <f aca="false">D4*D5</f>
        <v>358.585</v>
      </c>
      <c r="E13" s="4" t="n">
        <f aca="false">E4*E5</f>
        <v>352.972</v>
      </c>
      <c r="F13" s="4" t="n">
        <f aca="false">F4*F5</f>
        <v>377.202</v>
      </c>
      <c r="G13" s="4" t="n">
        <f aca="false">G4*G5</f>
        <v>358.632</v>
      </c>
      <c r="H13" s="4" t="n">
        <f aca="false">H4*H5</f>
        <v>377.264</v>
      </c>
      <c r="I13" s="4" t="n">
        <f aca="false">I4*I5</f>
        <v>386.4</v>
      </c>
      <c r="J13" s="4" t="n">
        <f aca="false">J4*J5</f>
        <v>346.701</v>
      </c>
      <c r="K13" s="4" t="n">
        <f aca="false">K4*K5</f>
        <v>253.344</v>
      </c>
      <c r="L13" s="4" t="n">
        <f aca="false">L4*L5</f>
        <v>344.736</v>
      </c>
      <c r="M13" s="4" t="n">
        <f aca="false">M4*M5</f>
        <v>344.964</v>
      </c>
      <c r="N13" s="5" t="n">
        <f aca="false">SUM(B13:M13)</f>
        <v>4257.112</v>
      </c>
    </row>
    <row r="14" customFormat="false" ht="15" hidden="false" customHeight="false" outlineLevel="0" collapsed="false">
      <c r="A14" s="3" t="s">
        <v>13</v>
      </c>
      <c r="B14" s="4" t="n">
        <f aca="false">B13*B6</f>
        <v>279.079608</v>
      </c>
      <c r="C14" s="4" t="n">
        <f aca="false">C13*C6</f>
        <v>225.140832</v>
      </c>
      <c r="D14" s="4" t="n">
        <f aca="false">D13*D6</f>
        <v>228.06006</v>
      </c>
      <c r="E14" s="4" t="n">
        <f aca="false">E13*E6</f>
        <v>194.1346</v>
      </c>
      <c r="F14" s="4" t="n">
        <f aca="false">F13*F6</f>
        <v>206.706696</v>
      </c>
      <c r="G14" s="4" t="n">
        <f aca="false">G13*G6</f>
        <v>197.964864</v>
      </c>
      <c r="H14" s="4" t="n">
        <f aca="false">H13*H6</f>
        <v>211.26784</v>
      </c>
      <c r="I14" s="4" t="n">
        <f aca="false">I13*I6</f>
        <v>211.7472</v>
      </c>
      <c r="J14" s="4" t="n">
        <f aca="false">J13*J6</f>
        <v>186.178437</v>
      </c>
      <c r="K14" s="4" t="n">
        <f aca="false">K13*K6</f>
        <v>137.565792</v>
      </c>
      <c r="L14" s="4" t="n">
        <f aca="false">L13*L6</f>
        <v>191.673216</v>
      </c>
      <c r="M14" s="4" t="n">
        <f aca="false">M13*M6</f>
        <v>186.625524</v>
      </c>
      <c r="N14" s="5" t="n">
        <f aca="false">SUM(B14:M14)</f>
        <v>2456.144669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7"/>
  </cols>
  <sheetData>
    <row r="1" customFormat="false" ht="17.35" hidden="false" customHeight="false" outlineLevel="0" collapsed="false">
      <c r="A1" s="1" t="s">
        <v>14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2" t="s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customFormat="false" ht="15" hidden="false" customHeight="false" outlineLevel="0" collapsed="false">
      <c r="A4" s="3" t="s">
        <v>3</v>
      </c>
      <c r="B4" s="4" t="n">
        <f aca="false">'1. Raw Data'!B4</f>
        <v>277.6</v>
      </c>
      <c r="C4" s="4" t="n">
        <f aca="false">'1. Raw Data'!M4</f>
        <v>193.8</v>
      </c>
      <c r="D4" s="4" t="n">
        <f aca="false">C4-B4</f>
        <v>-83.8</v>
      </c>
      <c r="E4" s="7" t="n">
        <f aca="false">IFERROR((C4-B4)/B4,0)</f>
        <v>-0.301873198847262</v>
      </c>
      <c r="F4" s="10" t="str">
        <f aca="false">IF(C4&gt;B4,"Improving","Deteriorating")</f>
        <v>Deteriorating</v>
      </c>
      <c r="G4" s="10" t="str">
        <f aca="false">IF(ABS((C4-B4)/B4)&gt;0.15,"HIGH",IF(ABS((C4-B4)/B4)&gt;0.05,"MEDIUM","LOW"))</f>
        <v>HIGH</v>
      </c>
    </row>
    <row r="5" customFormat="false" ht="15" hidden="false" customHeight="false" outlineLevel="0" collapsed="false">
      <c r="A5" s="3" t="s">
        <v>21</v>
      </c>
      <c r="B5" s="11" t="n">
        <f aca="false">'1. Raw Data'!B5</f>
        <v>1.41</v>
      </c>
      <c r="C5" s="11" t="n">
        <f aca="false">'1. Raw Data'!M5</f>
        <v>1.78</v>
      </c>
      <c r="D5" s="11" t="n">
        <f aca="false">C5-B5</f>
        <v>0.37</v>
      </c>
      <c r="E5" s="7" t="n">
        <f aca="false">IFERROR((C5-B5)/B5,0)</f>
        <v>0.262411347517731</v>
      </c>
      <c r="F5" s="10" t="str">
        <f aca="false">IF(C5&gt;B5,"Improving","Deteriorating")</f>
        <v>Improving</v>
      </c>
      <c r="G5" s="10" t="str">
        <f aca="false">IF(ABS((C5-B5)/B5)&gt;0.15,"HIGH",IF(ABS((C5-B5)/B5)&gt;0.05,"MEDIUM","LOW"))</f>
        <v>HIGH</v>
      </c>
    </row>
    <row r="6" customFormat="false" ht="15" hidden="false" customHeight="false" outlineLevel="0" collapsed="false">
      <c r="A6" s="3" t="s">
        <v>22</v>
      </c>
      <c r="B6" s="7" t="n">
        <f aca="false">'1. Raw Data'!B6</f>
        <v>0.713</v>
      </c>
      <c r="C6" s="7" t="n">
        <f aca="false">'1. Raw Data'!M6</f>
        <v>0.541</v>
      </c>
      <c r="D6" s="7" t="n">
        <f aca="false">C6-B6</f>
        <v>-0.172</v>
      </c>
      <c r="E6" s="7" t="n">
        <f aca="false">IFERROR((C6-B6)/B6,0)</f>
        <v>-0.241234221598878</v>
      </c>
      <c r="F6" s="10" t="str">
        <f aca="false">IF(C6&gt;B6,"Improving","Deteriorating")</f>
        <v>Deteriorating</v>
      </c>
      <c r="G6" s="10" t="str">
        <f aca="false">IF(ABS((C6-B6)/B6)&gt;0.15,"HIGH",IF(ABS((C6-B6)/B6)&gt;0.05,"MEDIUM","LOW"))</f>
        <v>HIGH</v>
      </c>
    </row>
    <row r="7" customFormat="false" ht="15" hidden="false" customHeight="false" outlineLevel="0" collapsed="false">
      <c r="A7" s="3" t="s">
        <v>7</v>
      </c>
      <c r="B7" s="11" t="n">
        <f aca="false">'1. Raw Data'!B8</f>
        <v>1.03</v>
      </c>
      <c r="C7" s="11" t="n">
        <f aca="false">'1. Raw Data'!M8</f>
        <v>1.03</v>
      </c>
      <c r="D7" s="11" t="n">
        <f aca="false">C7-B7</f>
        <v>0</v>
      </c>
      <c r="E7" s="7" t="n">
        <f aca="false">IFERROR((C7-B7)/B7,0)</f>
        <v>0</v>
      </c>
      <c r="F7" s="10" t="str">
        <f aca="false">IF(C7&gt;B7,"Improving","Deteriorating")</f>
        <v>Deteriorating</v>
      </c>
      <c r="G7" s="10" t="str">
        <f aca="false">IF(ABS((C7-B7)/B7)&gt;0.15,"HIGH",IF(ABS((C7-B7)/B7)&gt;0.05,"MEDIUM","LOW"))</f>
        <v>LOW</v>
      </c>
    </row>
    <row r="8" customFormat="false" ht="15" hidden="false" customHeight="false" outlineLevel="0" collapsed="false">
      <c r="A8" s="3" t="s">
        <v>10</v>
      </c>
      <c r="B8" s="11" t="n">
        <f aca="false">'1. Raw Data'!B11</f>
        <v>1</v>
      </c>
      <c r="C8" s="11" t="n">
        <f aca="false">'1. Raw Data'!M11</f>
        <v>1.01</v>
      </c>
      <c r="D8" s="11" t="n">
        <f aca="false">C8-B8</f>
        <v>0.01</v>
      </c>
      <c r="E8" s="7" t="n">
        <f aca="false">IFERROR((C8-B8)/B8,0)</f>
        <v>0.01</v>
      </c>
      <c r="F8" s="10" t="str">
        <f aca="false">IF(C8&gt;B8,"Improving","Deteriorating")</f>
        <v>Improving</v>
      </c>
      <c r="G8" s="10" t="str">
        <f aca="false">IF(ABS((C8-B8)/B8)&gt;0.15,"HIGH",IF(ABS((C8-B8)/B8)&gt;0.05,"MEDIUM","LOW"))</f>
        <v>LOW</v>
      </c>
    </row>
    <row r="9" customFormat="false" ht="15" hidden="false" customHeight="false" outlineLevel="0" collapsed="false">
      <c r="A9" s="3" t="s">
        <v>11</v>
      </c>
      <c r="B9" s="7" t="n">
        <f aca="false">'1. Raw Data'!B12</f>
        <v>0.707</v>
      </c>
      <c r="C9" s="7" t="n">
        <f aca="false">'1. Raw Data'!M12</f>
        <v>0.537</v>
      </c>
      <c r="D9" s="7" t="n">
        <f aca="false">C9-B9</f>
        <v>-0.17</v>
      </c>
      <c r="E9" s="7" t="n">
        <f aca="false">IFERROR((C9-B9)/B9,0)</f>
        <v>-0.24045261669024</v>
      </c>
      <c r="F9" s="10" t="str">
        <f aca="false">IF(C9&gt;B9,"Improving","Deteriorating")</f>
        <v>Deteriorating</v>
      </c>
      <c r="G9" s="10" t="str">
        <f aca="false">IF(ABS((C9-B9)/B9)&gt;0.15,"HIGH",IF(ABS((C9-B9)/B9)&gt;0.05,"MEDIUM","LOW"))</f>
        <v>HIGH</v>
      </c>
    </row>
    <row r="10" customFormat="false" ht="15" hidden="false" customHeight="false" outlineLevel="0" collapsed="false">
      <c r="A10" s="3" t="s">
        <v>9</v>
      </c>
      <c r="B10" s="4" t="n">
        <f aca="false">'1. Raw Data'!B10</f>
        <v>33</v>
      </c>
      <c r="C10" s="4" t="n">
        <f aca="false">'1. Raw Data'!M10</f>
        <v>47.2</v>
      </c>
      <c r="D10" s="4" t="n">
        <f aca="false">C10-B10</f>
        <v>14.2</v>
      </c>
      <c r="E10" s="7" t="n">
        <f aca="false">IFERROR((C10-B10)/B10,0)</f>
        <v>0.43030303030303</v>
      </c>
      <c r="F10" s="10" t="str">
        <f aca="false">IF(C10&gt;B10,"Improving","Deteriorating")</f>
        <v>Improving</v>
      </c>
      <c r="G10" s="10" t="str">
        <f aca="false">IF(ABS((C10-B10)/B10)&gt;0.15,"HIGH",IF(ABS((C10-B10)/B10)&gt;0.05,"MEDIUM","LOW"))</f>
        <v>HIGH</v>
      </c>
    </row>
    <row r="12" customFormat="false" ht="15" hidden="false" customHeight="false" outlineLevel="0" collapsed="false">
      <c r="A12" s="12" t="s">
        <v>23</v>
      </c>
      <c r="B12" s="12"/>
      <c r="C12" s="12"/>
      <c r="D12" s="12"/>
      <c r="E12" s="12"/>
      <c r="F12" s="12"/>
      <c r="G12" s="12"/>
    </row>
    <row r="13" customFormat="false" ht="30" hidden="false" customHeight="true" outlineLevel="0" collapsed="false">
      <c r="A13" s="13" t="s">
        <v>24</v>
      </c>
      <c r="B13" s="13"/>
      <c r="C13" s="13"/>
      <c r="D13" s="13"/>
      <c r="E13" s="13"/>
      <c r="F13" s="13"/>
      <c r="G13" s="13"/>
    </row>
    <row r="14" customFormat="false" ht="30" hidden="false" customHeight="true" outlineLevel="0" collapsed="false">
      <c r="A14" s="13" t="s">
        <v>25</v>
      </c>
      <c r="B14" s="13"/>
      <c r="C14" s="13"/>
      <c r="D14" s="13"/>
      <c r="E14" s="13"/>
      <c r="F14" s="13"/>
      <c r="G14" s="13"/>
    </row>
    <row r="15" customFormat="false" ht="30" hidden="false" customHeight="true" outlineLevel="0" collapsed="false">
      <c r="A15" s="13" t="s">
        <v>26</v>
      </c>
      <c r="B15" s="13"/>
      <c r="C15" s="13"/>
      <c r="D15" s="13"/>
      <c r="E15" s="13"/>
      <c r="F15" s="13"/>
      <c r="G15" s="13"/>
    </row>
    <row r="16" customFormat="false" ht="30" hidden="false" customHeight="true" outlineLevel="0" collapsed="false">
      <c r="A16" s="13" t="s">
        <v>27</v>
      </c>
      <c r="B16" s="13"/>
      <c r="C16" s="13"/>
      <c r="D16" s="13"/>
      <c r="E16" s="13"/>
      <c r="F16" s="13"/>
      <c r="G16" s="13"/>
    </row>
  </sheetData>
  <mergeCells count="6">
    <mergeCell ref="A1:G1"/>
    <mergeCell ref="A12:G12"/>
    <mergeCell ref="A13:G13"/>
    <mergeCell ref="A14:G14"/>
    <mergeCell ref="A15:G15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28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14" t="s">
        <v>29</v>
      </c>
      <c r="B2" s="14"/>
      <c r="C2" s="14"/>
      <c r="D2" s="14"/>
      <c r="E2" s="14"/>
      <c r="F2" s="14"/>
    </row>
    <row r="4" customFormat="false" ht="15" hidden="false" customHeight="false" outlineLevel="0" collapsed="false">
      <c r="A4" s="12" t="s">
        <v>30</v>
      </c>
      <c r="B4" s="12"/>
      <c r="C4" s="12"/>
      <c r="D4" s="12"/>
      <c r="E4" s="12"/>
      <c r="F4" s="12"/>
    </row>
    <row r="5" customFormat="false" ht="15" hidden="false" customHeight="false" outlineLevel="0" collapsed="false">
      <c r="A5" s="3" t="s">
        <v>31</v>
      </c>
      <c r="B5" s="15" t="n">
        <f aca="false">'1. Raw Data'!N4</f>
        <v>2743.4</v>
      </c>
    </row>
    <row r="6" customFormat="false" ht="15" hidden="false" customHeight="false" outlineLevel="0" collapsed="false">
      <c r="A6" s="3" t="s">
        <v>32</v>
      </c>
      <c r="B6" s="16" t="n">
        <f aca="false">'1. Raw Data'!N5</f>
        <v>1.55176496318437</v>
      </c>
    </row>
    <row r="7" customFormat="false" ht="15" hidden="false" customHeight="false" outlineLevel="0" collapsed="false">
      <c r="A7" s="3" t="s">
        <v>33</v>
      </c>
      <c r="B7" s="17" t="n">
        <f aca="false">'1. Raw Data'!N6</f>
        <v>0.576950916254964</v>
      </c>
    </row>
    <row r="8" customFormat="false" ht="15" hidden="false" customHeight="false" outlineLevel="0" collapsed="false">
      <c r="A8" s="3" t="s">
        <v>34</v>
      </c>
      <c r="B8" s="18" t="n">
        <f aca="false">B5*B6*B7</f>
        <v>2456.144669</v>
      </c>
    </row>
    <row r="11" customFormat="false" ht="15" hidden="false" customHeight="false" outlineLevel="0" collapsed="false">
      <c r="A11" s="12" t="s">
        <v>35</v>
      </c>
      <c r="B11" s="12"/>
      <c r="C11" s="12"/>
      <c r="D11" s="12"/>
      <c r="E11" s="12"/>
      <c r="F11" s="12"/>
    </row>
    <row r="13" customFormat="false" ht="15" hidden="false" customHeight="false" outlineLevel="0" collapsed="false">
      <c r="A13" s="2" t="s">
        <v>36</v>
      </c>
      <c r="B13" s="2" t="s">
        <v>37</v>
      </c>
      <c r="C13" s="2" t="s">
        <v>38</v>
      </c>
      <c r="D13" s="2" t="s">
        <v>5</v>
      </c>
      <c r="E13" s="2" t="s">
        <v>39</v>
      </c>
      <c r="F13" s="2" t="s">
        <v>40</v>
      </c>
    </row>
    <row r="14" customFormat="false" ht="15" hidden="false" customHeight="false" outlineLevel="0" collapsed="false">
      <c r="A14" s="19" t="s">
        <v>41</v>
      </c>
      <c r="B14" s="20" t="n">
        <f aca="false">B5</f>
        <v>2743.4</v>
      </c>
      <c r="C14" s="11" t="n">
        <f aca="false">B6</f>
        <v>1.55176496318437</v>
      </c>
      <c r="D14" s="7" t="n">
        <f aca="false">B7</f>
        <v>0.576950916254964</v>
      </c>
      <c r="E14" s="18" t="n">
        <f aca="false">B14*C14*D14</f>
        <v>2456.144669</v>
      </c>
      <c r="F14" s="7" t="n">
        <f aca="false">0</f>
        <v>0</v>
      </c>
    </row>
    <row r="15" customFormat="false" ht="15" hidden="false" customHeight="false" outlineLevel="0" collapsed="false">
      <c r="A15" s="21" t="s">
        <v>42</v>
      </c>
      <c r="B15" s="20" t="n">
        <f aca="false">12*277.6</f>
        <v>3331.2</v>
      </c>
      <c r="C15" s="16" t="n">
        <f aca="false">B6</f>
        <v>1.55176496318437</v>
      </c>
      <c r="D15" s="17" t="n">
        <f aca="false">B7</f>
        <v>0.576950916254964</v>
      </c>
      <c r="E15" s="18" t="n">
        <f aca="false">B15*C15*D15</f>
        <v>2982.39743434162</v>
      </c>
      <c r="F15" s="22" t="n">
        <f aca="false">(E15-E14)/E14</f>
        <v>0.214259677772108</v>
      </c>
    </row>
    <row r="16" customFormat="false" ht="15" hidden="false" customHeight="false" outlineLevel="0" collapsed="false">
      <c r="A16" s="21" t="s">
        <v>43</v>
      </c>
      <c r="B16" s="20" t="n">
        <f aca="false">B5</f>
        <v>2743.4</v>
      </c>
      <c r="C16" s="16" t="n">
        <v>2.5</v>
      </c>
      <c r="D16" s="17" t="n">
        <f aca="false">B7</f>
        <v>0.576950916254964</v>
      </c>
      <c r="E16" s="18" t="n">
        <f aca="false">B16*C16*D16</f>
        <v>3957.01785913467</v>
      </c>
      <c r="F16" s="22" t="n">
        <f aca="false">(E16-E14)/E14</f>
        <v>0.611068724524983</v>
      </c>
    </row>
    <row r="17" customFormat="false" ht="15" hidden="false" customHeight="false" outlineLevel="0" collapsed="false">
      <c r="A17" s="21" t="s">
        <v>44</v>
      </c>
      <c r="B17" s="20" t="n">
        <f aca="false">B5</f>
        <v>2743.4</v>
      </c>
      <c r="C17" s="16" t="n">
        <f aca="false">B6</f>
        <v>1.55176496318437</v>
      </c>
      <c r="D17" s="17" t="n">
        <v>0.713</v>
      </c>
      <c r="E17" s="18" t="n">
        <f aca="false">B17*C17*D17</f>
        <v>3035.320856</v>
      </c>
      <c r="F17" s="22" t="n">
        <f aca="false">(E17-E14)/E14</f>
        <v>0.235807032993625</v>
      </c>
    </row>
    <row r="18" customFormat="false" ht="15" hidden="false" customHeight="false" outlineLevel="0" collapsed="false">
      <c r="A18" s="21" t="s">
        <v>45</v>
      </c>
      <c r="B18" s="20" t="n">
        <f aca="false">B5</f>
        <v>2743.4</v>
      </c>
      <c r="C18" s="16" t="n">
        <f aca="false">B6*1.05</f>
        <v>1.62935321134359</v>
      </c>
      <c r="D18" s="17" t="n">
        <f aca="false">B7</f>
        <v>0.576950916254964</v>
      </c>
      <c r="E18" s="18" t="n">
        <f aca="false">B18*C18*D18</f>
        <v>2578.95190245</v>
      </c>
      <c r="F18" s="22" t="n">
        <f aca="false">(E18-E14)/E14</f>
        <v>0.0500000000000001</v>
      </c>
    </row>
    <row r="19" customFormat="false" ht="15" hidden="false" customHeight="false" outlineLevel="0" collapsed="false">
      <c r="A19" s="23" t="s">
        <v>46</v>
      </c>
      <c r="B19" s="20" t="n">
        <f aca="false">12*277.6</f>
        <v>3331.2</v>
      </c>
      <c r="C19" s="16" t="n">
        <f aca="false">B6</f>
        <v>1.55176496318437</v>
      </c>
      <c r="D19" s="17" t="n">
        <v>0.713</v>
      </c>
      <c r="E19" s="18" t="n">
        <f aca="false">B19*C19*D19</f>
        <v>3685.66772454152</v>
      </c>
      <c r="F19" s="22" t="n">
        <f aca="false">(E19-E14)/E14</f>
        <v>0.500590649671344</v>
      </c>
    </row>
    <row r="21" customFormat="false" ht="15" hidden="false" customHeight="false" outlineLevel="0" collapsed="false">
      <c r="A21" s="12" t="s">
        <v>47</v>
      </c>
      <c r="B21" s="12"/>
      <c r="C21" s="12"/>
      <c r="D21" s="12"/>
      <c r="E21" s="12"/>
      <c r="F21" s="12"/>
    </row>
    <row r="22" customFormat="false" ht="27.75" hidden="false" customHeight="true" outlineLevel="0" collapsed="false">
      <c r="A22" s="13" t="s">
        <v>48</v>
      </c>
      <c r="B22" s="13"/>
      <c r="C22" s="13"/>
      <c r="D22" s="13"/>
      <c r="E22" s="13"/>
      <c r="F22" s="13"/>
    </row>
    <row r="23" customFormat="false" ht="27.75" hidden="false" customHeight="true" outlineLevel="0" collapsed="false">
      <c r="A23" s="13" t="s">
        <v>49</v>
      </c>
      <c r="B23" s="13"/>
      <c r="C23" s="13"/>
      <c r="D23" s="13"/>
      <c r="E23" s="13"/>
      <c r="F23" s="13"/>
    </row>
    <row r="24" customFormat="false" ht="27.75" hidden="false" customHeight="true" outlineLevel="0" collapsed="false">
      <c r="A24" s="13" t="s">
        <v>50</v>
      </c>
      <c r="B24" s="13"/>
      <c r="C24" s="13"/>
      <c r="D24" s="13"/>
      <c r="E24" s="13"/>
      <c r="F24" s="13"/>
    </row>
    <row r="25" customFormat="false" ht="27.75" hidden="false" customHeight="true" outlineLevel="0" collapsed="false">
      <c r="A25" s="13" t="s">
        <v>51</v>
      </c>
      <c r="B25" s="13"/>
      <c r="C25" s="13"/>
      <c r="D25" s="13"/>
      <c r="E25" s="13"/>
      <c r="F25" s="13"/>
    </row>
  </sheetData>
  <mergeCells count="9">
    <mergeCell ref="A1:F1"/>
    <mergeCell ref="A2:F2"/>
    <mergeCell ref="A4:F4"/>
    <mergeCell ref="A11:F11"/>
    <mergeCell ref="A21:F21"/>
    <mergeCell ref="A22:F22"/>
    <mergeCell ref="A23:F23"/>
    <mergeCell ref="A24:F2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4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52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4" t="s">
        <v>53</v>
      </c>
      <c r="B2" s="14"/>
      <c r="C2" s="14"/>
      <c r="D2" s="14"/>
      <c r="E2" s="14"/>
      <c r="F2" s="14"/>
      <c r="G2" s="14"/>
      <c r="H2" s="14"/>
    </row>
    <row r="4" customFormat="false" ht="39.55" hidden="false" customHeight="false" outlineLevel="0" collapsed="false">
      <c r="A4" s="2" t="s">
        <v>54</v>
      </c>
      <c r="B4" s="2" t="s">
        <v>55</v>
      </c>
      <c r="C4" s="2" t="s">
        <v>56</v>
      </c>
      <c r="D4" s="2" t="s">
        <v>57</v>
      </c>
      <c r="E4" s="2" t="s">
        <v>58</v>
      </c>
      <c r="F4" s="2" t="s">
        <v>59</v>
      </c>
      <c r="G4" s="2" t="s">
        <v>60</v>
      </c>
      <c r="H4" s="2" t="s">
        <v>61</v>
      </c>
    </row>
    <row r="5" customFormat="false" ht="15" hidden="false" customHeight="false" outlineLevel="0" collapsed="false">
      <c r="A5" s="3" t="s">
        <v>62</v>
      </c>
      <c r="B5" s="24" t="n">
        <v>5</v>
      </c>
      <c r="C5" s="24" t="n">
        <v>5</v>
      </c>
      <c r="D5" s="24" t="n">
        <v>5</v>
      </c>
      <c r="E5" s="24" t="n">
        <v>4</v>
      </c>
      <c r="F5" s="24" t="n">
        <v>4</v>
      </c>
      <c r="G5" s="25" t="n">
        <f aca="false">SUM(B5:F5)</f>
        <v>23</v>
      </c>
      <c r="H5" s="10" t="str">
        <f aca="false">IF(G5&gt;=20,"HIGH",IF(G5&gt;=14,"MEDIUM","LOW"))</f>
        <v>HIGH</v>
      </c>
    </row>
    <row r="6" customFormat="false" ht="15" hidden="false" customHeight="false" outlineLevel="0" collapsed="false">
      <c r="A6" s="3" t="s">
        <v>63</v>
      </c>
      <c r="B6" s="24" t="n">
        <v>2</v>
      </c>
      <c r="C6" s="24" t="n">
        <v>1</v>
      </c>
      <c r="D6" s="24" t="n">
        <v>5</v>
      </c>
      <c r="E6" s="24" t="n">
        <v>2</v>
      </c>
      <c r="F6" s="24" t="n">
        <v>2</v>
      </c>
      <c r="G6" s="25" t="n">
        <f aca="false">SUM(B6:F6)</f>
        <v>12</v>
      </c>
      <c r="H6" s="10" t="str">
        <f aca="false">IF(G6&gt;=20,"HIGH",IF(G6&gt;=14,"MEDIUM","LOW"))</f>
        <v>LOW</v>
      </c>
    </row>
    <row r="7" customFormat="false" ht="15" hidden="false" customHeight="false" outlineLevel="0" collapsed="false">
      <c r="A7" s="3" t="s">
        <v>64</v>
      </c>
      <c r="B7" s="24" t="n">
        <v>5</v>
      </c>
      <c r="C7" s="24" t="n">
        <v>5</v>
      </c>
      <c r="D7" s="24" t="n">
        <v>4</v>
      </c>
      <c r="E7" s="24" t="n">
        <v>5</v>
      </c>
      <c r="F7" s="24" t="n">
        <v>5</v>
      </c>
      <c r="G7" s="25" t="n">
        <f aca="false">SUM(B7:F7)</f>
        <v>24</v>
      </c>
      <c r="H7" s="10" t="str">
        <f aca="false">IF(G7&gt;=20,"HIGH",IF(G7&gt;=14,"MEDIUM","LOW"))</f>
        <v>HIGH</v>
      </c>
    </row>
    <row r="8" customFormat="false" ht="15" hidden="false" customHeight="false" outlineLevel="0" collapsed="false">
      <c r="A8" s="3" t="s">
        <v>65</v>
      </c>
      <c r="B8" s="24" t="n">
        <v>3</v>
      </c>
      <c r="C8" s="24" t="n">
        <v>2</v>
      </c>
      <c r="D8" s="24" t="n">
        <v>2</v>
      </c>
      <c r="E8" s="24" t="n">
        <v>3</v>
      </c>
      <c r="F8" s="24" t="n">
        <v>3</v>
      </c>
      <c r="G8" s="25" t="n">
        <f aca="false">SUM(B8:F8)</f>
        <v>13</v>
      </c>
      <c r="H8" s="10" t="str">
        <f aca="false">IF(G8&gt;=20,"HIGH",IF(G8&gt;=14,"MEDIUM","LOW"))</f>
        <v>LOW</v>
      </c>
    </row>
    <row r="10" customFormat="false" ht="15" hidden="false" customHeight="false" outlineLevel="0" collapsed="false">
      <c r="A10" s="26" t="s">
        <v>66</v>
      </c>
      <c r="B10" s="26"/>
      <c r="C10" s="26"/>
      <c r="D10" s="26"/>
      <c r="E10" s="26"/>
      <c r="F10" s="26"/>
      <c r="G10" s="26"/>
      <c r="H10" s="26"/>
    </row>
    <row r="11" customFormat="false" ht="15" hidden="false" customHeight="true" outlineLevel="0" collapsed="false">
      <c r="A11" s="21" t="s">
        <v>67</v>
      </c>
      <c r="B11" s="13" t="s">
        <v>68</v>
      </c>
      <c r="C11" s="13"/>
      <c r="D11" s="13"/>
      <c r="E11" s="13"/>
      <c r="F11" s="13"/>
      <c r="G11" s="13"/>
      <c r="H11" s="13"/>
    </row>
    <row r="12" customFormat="false" ht="15" hidden="false" customHeight="true" outlineLevel="0" collapsed="false">
      <c r="A12" s="21" t="s">
        <v>69</v>
      </c>
      <c r="B12" s="13" t="s">
        <v>70</v>
      </c>
      <c r="C12" s="13"/>
      <c r="D12" s="13"/>
      <c r="E12" s="13"/>
      <c r="F12" s="13"/>
      <c r="G12" s="13"/>
      <c r="H12" s="13"/>
    </row>
    <row r="13" customFormat="false" ht="15" hidden="false" customHeight="true" outlineLevel="0" collapsed="false">
      <c r="A13" s="21" t="s">
        <v>71</v>
      </c>
      <c r="B13" s="13" t="s">
        <v>72</v>
      </c>
      <c r="C13" s="13"/>
      <c r="D13" s="13"/>
      <c r="E13" s="13"/>
      <c r="F13" s="13"/>
      <c r="G13" s="13"/>
      <c r="H13" s="13"/>
    </row>
    <row r="14" customFormat="false" ht="15" hidden="false" customHeight="true" outlineLevel="0" collapsed="false">
      <c r="A14" s="21" t="s">
        <v>73</v>
      </c>
      <c r="B14" s="13" t="s">
        <v>74</v>
      </c>
      <c r="C14" s="13"/>
      <c r="D14" s="13"/>
      <c r="E14" s="13"/>
      <c r="F14" s="13"/>
      <c r="G14" s="13"/>
      <c r="H14" s="13"/>
    </row>
    <row r="15" customFormat="false" ht="15" hidden="false" customHeight="true" outlineLevel="0" collapsed="false">
      <c r="A15" s="21" t="s">
        <v>75</v>
      </c>
      <c r="B15" s="13" t="s">
        <v>76</v>
      </c>
      <c r="C15" s="13"/>
      <c r="D15" s="13"/>
      <c r="E15" s="13"/>
      <c r="F15" s="13"/>
      <c r="G15" s="13"/>
      <c r="H15" s="13"/>
    </row>
    <row r="17" customFormat="false" ht="15" hidden="false" customHeight="false" outlineLevel="0" collapsed="false">
      <c r="A17" s="12" t="s">
        <v>77</v>
      </c>
      <c r="B17" s="12"/>
      <c r="C17" s="12"/>
      <c r="D17" s="12"/>
      <c r="E17" s="12"/>
      <c r="F17" s="12"/>
      <c r="G17" s="12"/>
      <c r="H17" s="12"/>
    </row>
    <row r="18" customFormat="false" ht="31.5" hidden="false" customHeight="true" outlineLevel="0" collapsed="false">
      <c r="A18" s="23" t="s">
        <v>78</v>
      </c>
      <c r="B18" s="23"/>
      <c r="C18" s="23"/>
      <c r="D18" s="23"/>
      <c r="E18" s="23"/>
      <c r="F18" s="23"/>
      <c r="G18" s="23"/>
      <c r="H18" s="23"/>
    </row>
    <row r="19" customFormat="false" ht="31.5" hidden="false" customHeight="true" outlineLevel="0" collapsed="false">
      <c r="A19" s="23" t="s">
        <v>79</v>
      </c>
      <c r="B19" s="23"/>
      <c r="C19" s="23"/>
      <c r="D19" s="23"/>
      <c r="E19" s="23"/>
      <c r="F19" s="23"/>
      <c r="G19" s="23"/>
      <c r="H19" s="23"/>
    </row>
    <row r="20" customFormat="false" ht="31.5" hidden="false" customHeight="true" outlineLevel="0" collapsed="false">
      <c r="A20" s="23" t="s">
        <v>80</v>
      </c>
      <c r="B20" s="23"/>
      <c r="C20" s="23"/>
      <c r="D20" s="23"/>
      <c r="E20" s="23"/>
      <c r="F20" s="23"/>
      <c r="G20" s="23"/>
      <c r="H20" s="23"/>
    </row>
  </sheetData>
  <mergeCells count="12">
    <mergeCell ref="A1:H1"/>
    <mergeCell ref="A2:H2"/>
    <mergeCell ref="A10:H10"/>
    <mergeCell ref="B11:H11"/>
    <mergeCell ref="B12:H12"/>
    <mergeCell ref="B13:H13"/>
    <mergeCell ref="B14:H14"/>
    <mergeCell ref="B15:H15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2026-04-14T20:21:05Z</dcterms:created>
  <dc:creator>openpyxl</dc:creator>
  <dc:description/>
  <dc:language>en-US</dc:language>
  <cp:lastModifiedBy/>
  <dcterms:modified xsi:type="dcterms:W3CDTF">2026-04-14T20:21:05Z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